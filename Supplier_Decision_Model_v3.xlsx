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11_B035225B9AEBFA77D136EF0F6DCC204F610B477C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🏆 Results" sheetId="1" r:id="rId1"/>
    <sheet name="⚖️ Model" sheetId="2" r:id="rId2"/>
    <sheet name="📊 Dashboard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6" i="3" l="1"/>
  <c r="L16" i="3"/>
  <c r="K16" i="3"/>
  <c r="J16" i="3"/>
  <c r="I16" i="3"/>
  <c r="F16" i="3"/>
  <c r="M15" i="3"/>
  <c r="L15" i="3"/>
  <c r="K15" i="3"/>
  <c r="J15" i="3"/>
  <c r="I15" i="3"/>
  <c r="F15" i="3"/>
  <c r="F14" i="3"/>
  <c r="M13" i="3"/>
  <c r="L13" i="3"/>
  <c r="K13" i="3"/>
  <c r="J13" i="3"/>
  <c r="I13" i="3"/>
  <c r="F13" i="3"/>
  <c r="I19" i="2"/>
  <c r="I20" i="2"/>
  <c r="I21" i="2"/>
  <c r="I22" i="2"/>
  <c r="I23" i="2"/>
  <c r="I24" i="2"/>
  <c r="I25" i="2"/>
  <c r="I26" i="2"/>
  <c r="I28" i="2"/>
  <c r="C13" i="3"/>
  <c r="M12" i="3"/>
  <c r="L12" i="3"/>
  <c r="K12" i="3"/>
  <c r="J12" i="3"/>
  <c r="I12" i="3"/>
  <c r="F12" i="3"/>
  <c r="H19" i="2"/>
  <c r="H20" i="2"/>
  <c r="H21" i="2"/>
  <c r="H22" i="2"/>
  <c r="H23" i="2"/>
  <c r="H24" i="2"/>
  <c r="H25" i="2"/>
  <c r="H26" i="2"/>
  <c r="H28" i="2"/>
  <c r="C12" i="3"/>
  <c r="M11" i="3"/>
  <c r="L11" i="3"/>
  <c r="K11" i="3"/>
  <c r="J11" i="3"/>
  <c r="I11" i="3"/>
  <c r="F11" i="3"/>
  <c r="G19" i="2"/>
  <c r="G20" i="2"/>
  <c r="G21" i="2"/>
  <c r="G22" i="2"/>
  <c r="G23" i="2"/>
  <c r="G24" i="2"/>
  <c r="G25" i="2"/>
  <c r="G26" i="2"/>
  <c r="G28" i="2"/>
  <c r="C11" i="3"/>
  <c r="M10" i="3"/>
  <c r="L10" i="3"/>
  <c r="K10" i="3"/>
  <c r="J10" i="3"/>
  <c r="I10" i="3"/>
  <c r="F10" i="3"/>
  <c r="F19" i="2"/>
  <c r="F20" i="2"/>
  <c r="F21" i="2"/>
  <c r="F22" i="2"/>
  <c r="F23" i="2"/>
  <c r="F24" i="2"/>
  <c r="F25" i="2"/>
  <c r="F26" i="2"/>
  <c r="F28" i="2"/>
  <c r="C10" i="3"/>
  <c r="M9" i="3"/>
  <c r="L9" i="3"/>
  <c r="K9" i="3"/>
  <c r="J9" i="3"/>
  <c r="I9" i="3"/>
  <c r="F9" i="3"/>
  <c r="E19" i="2"/>
  <c r="E20" i="2"/>
  <c r="E21" i="2"/>
  <c r="E22" i="2"/>
  <c r="E23" i="2"/>
  <c r="E24" i="2"/>
  <c r="E25" i="2"/>
  <c r="E26" i="2"/>
  <c r="E28" i="2"/>
  <c r="C9" i="3"/>
  <c r="I29" i="2"/>
  <c r="L5" i="3"/>
  <c r="H29" i="2"/>
  <c r="I5" i="3"/>
  <c r="G29" i="2"/>
  <c r="F5" i="3"/>
  <c r="F29" i="2"/>
  <c r="D5" i="3"/>
  <c r="E29" i="2"/>
  <c r="B5" i="3"/>
  <c r="E30" i="2"/>
  <c r="B3" i="3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5" i="2"/>
  <c r="B3" i="2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9" i="1"/>
  <c r="G9" i="1"/>
  <c r="F9" i="1"/>
  <c r="E9" i="1"/>
  <c r="D9" i="1"/>
  <c r="B9" i="1"/>
  <c r="H8" i="1"/>
  <c r="G8" i="1"/>
  <c r="F8" i="1"/>
  <c r="E8" i="1"/>
  <c r="D8" i="1"/>
  <c r="B8" i="1"/>
  <c r="H7" i="1"/>
  <c r="G7" i="1"/>
  <c r="F7" i="1"/>
  <c r="E7" i="1"/>
  <c r="D7" i="1"/>
  <c r="B7" i="1"/>
  <c r="H6" i="1"/>
  <c r="G6" i="1"/>
  <c r="F6" i="1"/>
  <c r="E6" i="1"/>
  <c r="D6" i="1"/>
  <c r="B6" i="1"/>
  <c r="H5" i="1"/>
  <c r="G5" i="1"/>
  <c r="F5" i="1"/>
  <c r="E5" i="1"/>
  <c r="D5" i="1"/>
  <c r="B5" i="1"/>
  <c r="B3" i="1"/>
</calcChain>
</file>

<file path=xl/sharedStrings.xml><?xml version="1.0" encoding="utf-8"?>
<sst xmlns="http://schemas.openxmlformats.org/spreadsheetml/2006/main" count="86" uniqueCount="67">
  <si>
    <t>🏆  SUPPLIER RANKING — FULL RESULTS TABLE  |  Live from Model Sheet</t>
  </si>
  <si>
    <t>RANK</t>
  </si>
  <si>
    <t>SUPPLIER</t>
  </si>
  <si>
    <t>WEIGHTED
SCORE</t>
  </si>
  <si>
    <t>SCORE %</t>
  </si>
  <si>
    <t>RATING</t>
  </si>
  <si>
    <t>GAP TO
BEST</t>
  </si>
  <si>
    <t>RECOMMENDATION</t>
  </si>
  <si>
    <t>Parle Agro (Maharashtra)</t>
  </si>
  <si>
    <t>TCPL Packaging (Gujarat)</t>
  </si>
  <si>
    <t>Huhtamaki India (Tamil Nadu)</t>
  </si>
  <si>
    <t>Uflex Ltd (UP)</t>
  </si>
  <si>
    <t>Manjushree (Karnataka)</t>
  </si>
  <si>
    <t>📊  RAW SCORE BREAKDOWN BY CRITERION  (Colours: 🔴 Low → 🟡 Mid → 🟢 High)</t>
  </si>
  <si>
    <t>CRITERION</t>
  </si>
  <si>
    <t>WEIGHT</t>
  </si>
  <si>
    <t>Parle Agro</t>
  </si>
  <si>
    <t>TCPL Pkg</t>
  </si>
  <si>
    <t>Huhtamaki</t>
  </si>
  <si>
    <t>Uflex</t>
  </si>
  <si>
    <t>Manjushree</t>
  </si>
  <si>
    <t>⚖️  SUPPLIER SELECTION — DECISION FACTOR MODEL  |  Reliance Retail FMCG  |  India</t>
  </si>
  <si>
    <t>DECISION CRITERIA</t>
  </si>
  <si>
    <t>WEIGHT
(%)</t>
  </si>
  <si>
    <t>SCORE (1–10)
Parle Agro
(Maharashtra)</t>
  </si>
  <si>
    <t>SCORE (1–10)
TCPL Packaging
(Gujarat)</t>
  </si>
  <si>
    <t>SCORE (1–10)
Huhtamaki India
(Tamil Nadu)</t>
  </si>
  <si>
    <t>SCORE (1–10)
Uflex Ltd
(UP)</t>
  </si>
  <si>
    <t>SCORE (1–10)
Manjushree
(Karnataka)</t>
  </si>
  <si>
    <t>Product Quality &amp; BIS Certification</t>
  </si>
  <si>
    <t>Unit Price Competitiveness</t>
  </si>
  <si>
    <t>On-Time Delivery Reliability</t>
  </si>
  <si>
    <t>Financial Stability (CRISIL/ICRA)</t>
  </si>
  <si>
    <t>Production Capacity</t>
  </si>
  <si>
    <t>ESG &amp; BRSR Compliance</t>
  </si>
  <si>
    <t>GST &amp; MSME Compliance</t>
  </si>
  <si>
    <t>After-Sales &amp; Lead Time</t>
  </si>
  <si>
    <t>TOTAL WEIGHT  →</t>
  </si>
  <si>
    <t>📊  WEIGHTED SCORE BREAKDOWN  (Automated — Do NOT edit below this line)</t>
  </si>
  <si>
    <t>Weighted
Score
Parle Agro</t>
  </si>
  <si>
    <t>Weighted
Score
TCPL Pkg</t>
  </si>
  <si>
    <t>Weighted
Score
Huhtamaki</t>
  </si>
  <si>
    <t>Weighted
Score
Uflex</t>
  </si>
  <si>
    <t>Weighted
Score
Manjushree</t>
  </si>
  <si>
    <t>🏆  TOTAL WEIGHTED SCORE  (out of 10.00)</t>
  </si>
  <si>
    <t>🥇  RANK  (1 = Best Supplier)</t>
  </si>
  <si>
    <t>🎯  WINNER</t>
  </si>
  <si>
    <t>COLOUR GUIDE:   🔵 Blue = INPUT (edit these)     ⬜ Gray = FORMULA (do not edit)     🟢 Green = Best     🔴 Red = Weakest</t>
  </si>
  <si>
    <t>SOURCES: BIS (bis.gov.in) | ISM Framework (ism.ws) | SEBI BRSR (sebi.gov.in) | CRISIL (crisil.com) | GST Portal (gst.gov.in) | RIL Annual Report 2024</t>
  </si>
  <si>
    <t>📊  SUPPLIER DECISION DASHBOARD  |  Reliance Retail FMCG  |  India 2024</t>
  </si>
  <si>
    <t>📊 Total Weighted Score by Supplier</t>
  </si>
  <si>
    <t>Supplier</t>
  </si>
  <si>
    <t>Score</t>
  </si>
  <si>
    <t>Criterion</t>
  </si>
  <si>
    <t>Weight %</t>
  </si>
  <si>
    <t>Parle</t>
  </si>
  <si>
    <t>TCPL</t>
  </si>
  <si>
    <t>Quality</t>
  </si>
  <si>
    <t>Price</t>
  </si>
  <si>
    <t>Delivery</t>
  </si>
  <si>
    <t>Finance</t>
  </si>
  <si>
    <t>Capacity</t>
  </si>
  <si>
    <t>📊 Total Score</t>
  </si>
  <si>
    <t>⚖️ Criteria Weight Distribution</t>
  </si>
  <si>
    <t>GST</t>
  </si>
  <si>
    <t>Support</t>
  </si>
  <si>
    <t>📈 Score Comparison Across All Criteria  (Change scores in Model sheet → chart updates)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</si>
</sst>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+0.00;\-0.00;0.00"/>
    <numFmt numFmtId="166" formatCode="0\%"/>
  </numFmts>
  <fonts count="24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b/>
      <sz val="11"/>
      <name val="Arial"/>
      <charset val="1"/>
    </font>
    <font>
      <b/>
      <sz val="12"/>
      <color rgb="FF1F3864"/>
      <name val="Arial"/>
      <charset val="1"/>
    </font>
    <font>
      <sz val="11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404040"/>
      <name val="Arial"/>
      <charset val="1"/>
    </font>
    <font>
      <b/>
      <sz val="10"/>
      <color rgb="FF1F3864"/>
      <name val="Arial"/>
      <charset val="1"/>
    </font>
    <font>
      <b/>
      <sz val="12"/>
      <color rgb="FF00008B"/>
      <name val="Arial"/>
      <charset val="1"/>
    </font>
    <font>
      <b/>
      <sz val="13"/>
      <color rgb="FF00008B"/>
      <name val="Arial"/>
      <charset val="1"/>
    </font>
    <font>
      <i/>
      <sz val="9"/>
      <color rgb="FF404040"/>
      <name val="Arial"/>
      <charset val="1"/>
    </font>
    <font>
      <b/>
      <sz val="14"/>
      <color rgb="FFFFFFFF"/>
      <name val="Arial"/>
      <charset val="1"/>
    </font>
    <font>
      <b/>
      <sz val="13"/>
      <color rgb="FFFFFFFF"/>
      <name val="Arial"/>
      <charset val="1"/>
    </font>
    <font>
      <i/>
      <sz val="9"/>
      <color rgb="FF555555"/>
      <name val="Arial"/>
      <charset val="1"/>
    </font>
    <font>
      <b/>
      <sz val="18"/>
      <color rgb="FFFFFFFF"/>
      <name val="Arial"/>
      <charset val="1"/>
    </font>
    <font>
      <sz val="8"/>
      <name val="Arial"/>
      <charset val="1"/>
    </font>
    <font>
      <sz val="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375623"/>
        <bgColor rgb="FF404040"/>
      </patternFill>
    </fill>
    <fill>
      <patternFill patternType="solid">
        <fgColor rgb="FFF2F2F2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FF6600"/>
        <bgColor rgb="FFFF9900"/>
      </patternFill>
    </fill>
    <fill>
      <patternFill patternType="solid">
        <fgColor rgb="FF2E75B6"/>
        <bgColor rgb="FF4F81BD"/>
      </patternFill>
    </fill>
    <fill>
      <patternFill patternType="solid">
        <fgColor rgb="FFDDEEFF"/>
        <bgColor rgb="FFE2EFDA"/>
      </patternFill>
    </fill>
    <fill>
      <patternFill patternType="solid">
        <fgColor rgb="FF404040"/>
        <bgColor rgb="FF375623"/>
      </patternFill>
    </fill>
    <fill>
      <patternFill patternType="solid">
        <fgColor rgb="FFF5F5F5"/>
        <bgColor rgb="FFF2F2F2"/>
      </patternFill>
    </fill>
    <fill>
      <patternFill patternType="solid">
        <fgColor rgb="FF8E44AD"/>
        <bgColor rgb="FF993366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1" fillId="11" borderId="0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1" fillId="7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center" vertical="center"/>
    </xf>
    <xf numFmtId="0" fontId="11" fillId="7" borderId="0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2" fontId="6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2" fontId="6" fillId="5" borderId="1" xfId="0" applyNumberFormat="1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9" fontId="9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 wrapText="1"/>
    </xf>
    <xf numFmtId="9" fontId="9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166" fontId="15" fillId="8" borderId="1" xfId="0" applyNumberFormat="1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12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 wrapText="1"/>
    </xf>
    <xf numFmtId="164" fontId="9" fillId="10" borderId="1" xfId="0" applyNumberFormat="1" applyFont="1" applyFill="1" applyBorder="1" applyAlignment="1">
      <alignment horizontal="center" vertical="center"/>
    </xf>
    <xf numFmtId="2" fontId="9" fillId="10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2" fontId="18" fillId="2" borderId="1" xfId="0" applyNumberFormat="1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center"/>
    </xf>
    <xf numFmtId="0" fontId="0" fillId="7" borderId="1" xfId="0" applyFill="1" applyBorder="1"/>
    <xf numFmtId="0" fontId="19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left" vertical="center"/>
    </xf>
    <xf numFmtId="2" fontId="8" fillId="4" borderId="0" xfId="0" applyNumberFormat="1" applyFont="1" applyFill="1" applyAlignment="1">
      <alignment horizontal="center" vertical="center"/>
    </xf>
    <xf numFmtId="0" fontId="22" fillId="4" borderId="0" xfId="0" applyFont="1" applyFill="1" applyAlignment="1">
      <alignment horizontal="left" vertical="center" wrapText="1"/>
    </xf>
    <xf numFmtId="9" fontId="23" fillId="4" borderId="0" xfId="0" applyNumberFormat="1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1" fontId="23" fillId="5" borderId="0" xfId="0" applyNumberFormat="1" applyFont="1" applyFill="1" applyAlignment="1">
      <alignment horizontal="center" vertical="center"/>
    </xf>
    <xf numFmtId="0" fontId="11" fillId="12" borderId="0" xfId="0" applyFont="1" applyFill="1" applyBorder="1" applyAlignment="1">
      <alignment horizontal="center" vertical="center" wrapText="1"/>
    </xf>
    <xf numFmtId="0" fontId="3" fillId="7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C00000"/>
      </font>
      <fill>
        <patternFill>
          <bgColor rgb="FFFFCCCC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b/>
        <sz val="16"/>
        <color rgb="FFC00000"/>
      </font>
      <fill>
        <patternFill>
          <bgColor rgb="FFFFCCCC"/>
        </patternFill>
      </fill>
    </dxf>
    <dxf>
      <font>
        <b/>
        <sz val="16"/>
        <color rgb="FF375623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C0C0C0"/>
      <rgbColor rgb="FF878787"/>
      <rgbColor rgb="FF9999FF"/>
      <rgbColor rgb="FF8E44AD"/>
      <rgbColor rgb="FFF9F9F9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5F5F5"/>
      <rgbColor rgb="FF99CCFF"/>
      <rgbColor rgb="FFFF99CC"/>
      <rgbColor rgb="FFCC99FF"/>
      <rgbColor rgb="FFFFCCCC"/>
      <rgbColor rgb="FF2E75B6"/>
      <rgbColor rgb="FF33CCCC"/>
      <rgbColor rgb="FF99CC00"/>
      <rgbColor rgb="FFFFC000"/>
      <rgbColor rgb="FFFF9900"/>
      <rgbColor rgb="FFFF6600"/>
      <rgbColor rgb="FF4F81BD"/>
      <rgbColor rgb="FF969696"/>
      <rgbColor rgb="FF1F3864"/>
      <rgbColor rgb="FF2E8B57"/>
      <rgbColor rgb="FF003300"/>
      <rgbColor rgb="FF375623"/>
      <rgbColor rgb="FF993300"/>
      <rgbColor rgb="FF993366"/>
      <rgbColor rgb="FF555555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"Weighted Score"</c:f>
              <c:strCache>
                <c:ptCount val="1"/>
                <c:pt idx="0">
                  <c:v>Weighted Score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Dashboard'!$B$9:$B$13</c:f>
              <c:strCache>
                <c:ptCount val="5"/>
                <c:pt idx="0">
                  <c:v>Parle Agro</c:v>
                </c:pt>
                <c:pt idx="1">
                  <c:v>TCPL Pkg</c:v>
                </c:pt>
                <c:pt idx="2">
                  <c:v>Huhtamaki</c:v>
                </c:pt>
                <c:pt idx="3">
                  <c:v>Uflex</c:v>
                </c:pt>
                <c:pt idx="4">
                  <c:v>Manjushree</c:v>
                </c:pt>
              </c:strCache>
            </c:strRef>
          </c:cat>
          <c:val>
            <c:numRef>
              <c:f>'📊 Dashboard'!$C$9:$C$13</c:f>
              <c:numCache>
                <c:formatCode>0.00</c:formatCode>
                <c:ptCount val="5"/>
                <c:pt idx="0">
                  <c:v>7.8200000000000012</c:v>
                </c:pt>
                <c:pt idx="1">
                  <c:v>8.1</c:v>
                </c:pt>
                <c:pt idx="2">
                  <c:v>8.1</c:v>
                </c:pt>
                <c:pt idx="3">
                  <c:v>7.4600000000000017</c:v>
                </c:pt>
                <c:pt idx="4">
                  <c:v>7.8000000000000007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E-A842-B7F2-F6F458BF1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626847"/>
        <c:axId val="13325119"/>
      </c:barChart>
      <c:catAx>
        <c:axId val="78626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325119"/>
        <c:crosses val="autoZero"/>
        <c:auto val="1"/>
        <c:lblAlgn val="ctr"/>
        <c:lblOffset val="100"/>
        <c:noMultiLvlLbl val="0"/>
      </c:catAx>
      <c:valAx>
        <c:axId val="1332511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6268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'📊 Dashboard'!F8</c:f>
              <c:strCache>
                <c:ptCount val="1"/>
                <c:pt idx="0">
                  <c:v>Weight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1F386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FF66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37562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8E44A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bubble3D val="0"/>
            <c:spPr>
              <a:solidFill>
                <a:srgbClr val="2E8B5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Dashboard'!$E$9:$E$16</c:f>
              <c:strCache>
                <c:ptCount val="8"/>
                <c:pt idx="0">
                  <c:v>Product Quality &amp; BIS Certification</c:v>
                </c:pt>
                <c:pt idx="1">
                  <c:v>Unit Price Competitiveness</c:v>
                </c:pt>
                <c:pt idx="2">
                  <c:v>On-Time Delivery Reliability</c:v>
                </c:pt>
                <c:pt idx="3">
                  <c:v>Financial Stability (CRISIL/ICRA)</c:v>
                </c:pt>
                <c:pt idx="4">
                  <c:v>Production Capacity</c:v>
                </c:pt>
                <c:pt idx="5">
                  <c:v>ESG &amp; BRSR Compliance</c:v>
                </c:pt>
                <c:pt idx="6">
                  <c:v>GST &amp; MSME Compliance</c:v>
                </c:pt>
                <c:pt idx="7">
                  <c:v>After-Sales &amp; Lead Time</c:v>
                </c:pt>
              </c:strCache>
            </c:strRef>
          </c:cat>
          <c:val>
            <c:numRef>
              <c:f>'📊 Dashboard'!$F$9:$F$16</c:f>
              <c:numCache>
                <c:formatCode>0%</c:formatCode>
                <c:ptCount val="8"/>
                <c:pt idx="0">
                  <c:v>0.22</c:v>
                </c:pt>
                <c:pt idx="1">
                  <c:v>0.2</c:v>
                </c:pt>
                <c:pt idx="2">
                  <c:v>0.18</c:v>
                </c:pt>
                <c:pt idx="3">
                  <c:v>0.12</c:v>
                </c:pt>
                <c:pt idx="4">
                  <c:v>0.1</c:v>
                </c:pt>
                <c:pt idx="5">
                  <c:v>0.08</c:v>
                </c:pt>
                <c:pt idx="6">
                  <c:v>0.06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C-1A41-B475-3202A3B06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Dashboard'!I8</c:f>
              <c:strCache>
                <c:ptCount val="1"/>
                <c:pt idx="0">
                  <c:v>Parle</c:v>
                </c:pt>
              </c:strCache>
            </c:strRef>
          </c:tx>
          <c:spPr>
            <a:solidFill>
              <a:srgbClr val="1F38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Dashboard'!$H$9:$H$16</c:f>
              <c:strCache>
                <c:ptCount val="8"/>
                <c:pt idx="0">
                  <c:v>Quality</c:v>
                </c:pt>
                <c:pt idx="1">
                  <c:v>Price</c:v>
                </c:pt>
                <c:pt idx="2">
                  <c:v>Delivery</c:v>
                </c:pt>
                <c:pt idx="3">
                  <c:v>Finance</c:v>
                </c:pt>
                <c:pt idx="4">
                  <c:v>Capacity</c:v>
                </c:pt>
                <c:pt idx="5">
                  <c:v>⚖️ Criteria Weight Distribution</c:v>
                </c:pt>
                <c:pt idx="6">
                  <c:v>GST</c:v>
                </c:pt>
                <c:pt idx="7">
                  <c:v>Support</c:v>
                </c:pt>
              </c:strCache>
            </c:strRef>
          </c:cat>
          <c:val>
            <c:numRef>
              <c:f>'📊 Dashboard'!$I$9:$I$16</c:f>
              <c:numCache>
                <c:formatCode>0</c:formatCode>
                <c:ptCount val="8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7</c:v>
                </c:pt>
                <c:pt idx="6">
                  <c:v>9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0-184D-B584-29FFEE337DF8}"/>
            </c:ext>
          </c:extLst>
        </c:ser>
        <c:ser>
          <c:idx val="1"/>
          <c:order val="1"/>
          <c:tx>
            <c:strRef>
              <c:f>'📊 Dashboard'!J8</c:f>
              <c:strCache>
                <c:ptCount val="1"/>
                <c:pt idx="0">
                  <c:v>TCPL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Dashboard'!$H$9:$H$16</c:f>
              <c:strCache>
                <c:ptCount val="8"/>
                <c:pt idx="0">
                  <c:v>Quality</c:v>
                </c:pt>
                <c:pt idx="1">
                  <c:v>Price</c:v>
                </c:pt>
                <c:pt idx="2">
                  <c:v>Delivery</c:v>
                </c:pt>
                <c:pt idx="3">
                  <c:v>Finance</c:v>
                </c:pt>
                <c:pt idx="4">
                  <c:v>Capacity</c:v>
                </c:pt>
                <c:pt idx="5">
                  <c:v>⚖️ Criteria Weight Distribution</c:v>
                </c:pt>
                <c:pt idx="6">
                  <c:v>GST</c:v>
                </c:pt>
                <c:pt idx="7">
                  <c:v>Support</c:v>
                </c:pt>
              </c:strCache>
            </c:strRef>
          </c:cat>
          <c:val>
            <c:numRef>
              <c:f>'📊 Dashboard'!$J$9:$J$16</c:f>
              <c:numCache>
                <c:formatCode>0</c:formatCode>
                <c:ptCount val="8"/>
                <c:pt idx="0">
                  <c:v>9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80-184D-B584-29FFEE337DF8}"/>
            </c:ext>
          </c:extLst>
        </c:ser>
        <c:ser>
          <c:idx val="2"/>
          <c:order val="2"/>
          <c:tx>
            <c:strRef>
              <c:f>'📊 Dashboard'!K8</c:f>
              <c:strCache>
                <c:ptCount val="1"/>
                <c:pt idx="0">
                  <c:v>Huhtamaki</c:v>
                </c:pt>
              </c:strCache>
            </c:strRef>
          </c:tx>
          <c:spPr>
            <a:solidFill>
              <a:srgbClr val="FF66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Dashboard'!$H$9:$H$16</c:f>
              <c:strCache>
                <c:ptCount val="8"/>
                <c:pt idx="0">
                  <c:v>Quality</c:v>
                </c:pt>
                <c:pt idx="1">
                  <c:v>Price</c:v>
                </c:pt>
                <c:pt idx="2">
                  <c:v>Delivery</c:v>
                </c:pt>
                <c:pt idx="3">
                  <c:v>Finance</c:v>
                </c:pt>
                <c:pt idx="4">
                  <c:v>Capacity</c:v>
                </c:pt>
                <c:pt idx="5">
                  <c:v>⚖️ Criteria Weight Distribution</c:v>
                </c:pt>
                <c:pt idx="6">
                  <c:v>GST</c:v>
                </c:pt>
                <c:pt idx="7">
                  <c:v>Support</c:v>
                </c:pt>
              </c:strCache>
            </c:strRef>
          </c:cat>
          <c:val>
            <c:numRef>
              <c:f>'📊 Dashboard'!$K$9:$K$16</c:f>
              <c:numCache>
                <c:formatCode>0</c:formatCode>
                <c:ptCount val="8"/>
                <c:pt idx="0">
                  <c:v>9</c:v>
                </c:pt>
                <c:pt idx="1">
                  <c:v>5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6">
                  <c:v>8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80-184D-B584-29FFEE337DF8}"/>
            </c:ext>
          </c:extLst>
        </c:ser>
        <c:ser>
          <c:idx val="3"/>
          <c:order val="3"/>
          <c:tx>
            <c:strRef>
              <c:f>'📊 Dashboard'!L8</c:f>
              <c:strCache>
                <c:ptCount val="1"/>
                <c:pt idx="0">
                  <c:v>Uflex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Dashboard'!$H$9:$H$16</c:f>
              <c:strCache>
                <c:ptCount val="8"/>
                <c:pt idx="0">
                  <c:v>Quality</c:v>
                </c:pt>
                <c:pt idx="1">
                  <c:v>Price</c:v>
                </c:pt>
                <c:pt idx="2">
                  <c:v>Delivery</c:v>
                </c:pt>
                <c:pt idx="3">
                  <c:v>Finance</c:v>
                </c:pt>
                <c:pt idx="4">
                  <c:v>Capacity</c:v>
                </c:pt>
                <c:pt idx="5">
                  <c:v>⚖️ Criteria Weight Distribution</c:v>
                </c:pt>
                <c:pt idx="6">
                  <c:v>GST</c:v>
                </c:pt>
                <c:pt idx="7">
                  <c:v>Support</c:v>
                </c:pt>
              </c:strCache>
            </c:strRef>
          </c:cat>
          <c:val>
            <c:numRef>
              <c:f>'📊 Dashboard'!$L$9:$L$16</c:f>
              <c:numCache>
                <c:formatCode>0</c:formatCode>
                <c:ptCount val="8"/>
                <c:pt idx="0">
                  <c:v>7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9</c:v>
                </c:pt>
                <c:pt idx="6">
                  <c:v>8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80-184D-B584-29FFEE337DF8}"/>
            </c:ext>
          </c:extLst>
        </c:ser>
        <c:ser>
          <c:idx val="4"/>
          <c:order val="4"/>
          <c:tx>
            <c:strRef>
              <c:f>'📊 Dashboard'!M8</c:f>
              <c:strCache>
                <c:ptCount val="1"/>
                <c:pt idx="0">
                  <c:v>Manjushree</c:v>
                </c:pt>
              </c:strCache>
            </c:strRef>
          </c:tx>
          <c:spPr>
            <a:solidFill>
              <a:srgbClr val="8E44A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'📊 Dashboard'!$H$9:$H$16</c:f>
              <c:strCache>
                <c:ptCount val="8"/>
                <c:pt idx="0">
                  <c:v>Quality</c:v>
                </c:pt>
                <c:pt idx="1">
                  <c:v>Price</c:v>
                </c:pt>
                <c:pt idx="2">
                  <c:v>Delivery</c:v>
                </c:pt>
                <c:pt idx="3">
                  <c:v>Finance</c:v>
                </c:pt>
                <c:pt idx="4">
                  <c:v>Capacity</c:v>
                </c:pt>
                <c:pt idx="5">
                  <c:v>⚖️ Criteria Weight Distribution</c:v>
                </c:pt>
                <c:pt idx="6">
                  <c:v>GST</c:v>
                </c:pt>
                <c:pt idx="7">
                  <c:v>Support</c:v>
                </c:pt>
              </c:strCache>
            </c:strRef>
          </c:cat>
          <c:val>
            <c:numRef>
              <c:f>'📊 Dashboard'!$M$9:$M$16</c:f>
              <c:numCache>
                <c:formatCode>0</c:formatCode>
                <c:ptCount val="8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6">
                  <c:v>9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80-184D-B584-29FFEE337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251845"/>
        <c:axId val="18165326"/>
      </c:barChart>
      <c:catAx>
        <c:axId val="342518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165326"/>
        <c:crosses val="autoZero"/>
        <c:auto val="1"/>
        <c:lblAlgn val="ctr"/>
        <c:lblOffset val="100"/>
        <c:noMultiLvlLbl val="0"/>
      </c:catAx>
      <c:valAx>
        <c:axId val="181653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251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5</xdr:col>
      <xdr:colOff>740160</xdr:colOff>
      <xdr:row>30</xdr:row>
      <xdr:rowOff>187560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14</xdr:row>
      <xdr:rowOff>0</xdr:rowOff>
    </xdr:from>
    <xdr:to>
      <xdr:col>13</xdr:col>
      <xdr:colOff>387360</xdr:colOff>
      <xdr:row>30</xdr:row>
      <xdr:rowOff>187560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12</xdr:col>
      <xdr:colOff>352800</xdr:colOff>
      <xdr:row>48</xdr:row>
      <xdr:rowOff>204840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B1:H21"/>
  <sheetViews>
    <sheetView showGridLines="0" tabSelected="1" zoomScaleNormal="100" workbookViewId="0">
      <selection activeCell="D8" sqref="D8"/>
    </sheetView>
  </sheetViews>
  <sheetFormatPr defaultColWidth="8.7421875" defaultRowHeight="15" x14ac:dyDescent="0.2"/>
  <cols>
    <col min="1" max="1" width="2.015625" customWidth="1"/>
    <col min="2" max="2" width="4.03515625" customWidth="1"/>
    <col min="3" max="3" width="25.9609375" customWidth="1"/>
    <col min="4" max="4" width="13.98828125" customWidth="1"/>
    <col min="5" max="5" width="11.97265625" customWidth="1"/>
    <col min="6" max="6" width="18.0234375" customWidth="1"/>
    <col min="7" max="7" width="13.98828125" customWidth="1"/>
    <col min="8" max="8" width="36.05078125" customWidth="1"/>
  </cols>
  <sheetData>
    <row r="1" spans="2:8" ht="6" customHeight="1" x14ac:dyDescent="0.2"/>
    <row r="2" spans="2:8" ht="43.5" customHeight="1" x14ac:dyDescent="0.2">
      <c r="B2" s="11" t="s">
        <v>0</v>
      </c>
      <c r="C2" s="11"/>
      <c r="D2" s="11"/>
      <c r="E2" s="11"/>
      <c r="F2" s="11"/>
      <c r="G2" s="11"/>
      <c r="H2" s="11"/>
    </row>
    <row r="3" spans="2:8" ht="27.75" customHeight="1" x14ac:dyDescent="0.2">
      <c r="B3" s="10" t="str">
        <f>'⚖️ Model'!E30</f>
        <v>TCPL Packaging  wins with a weighted score of  8.10 / 10.00</v>
      </c>
      <c r="C3" s="10"/>
      <c r="D3" s="10"/>
      <c r="E3" s="10"/>
      <c r="F3" s="10"/>
      <c r="G3" s="10"/>
      <c r="H3" s="10"/>
    </row>
    <row r="4" spans="2:8" ht="36" customHeight="1" x14ac:dyDescent="0.2"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</row>
    <row r="5" spans="2:8" ht="27.75" customHeight="1" x14ac:dyDescent="0.2">
      <c r="B5" s="13">
        <f>'⚖️ Model'!E29</f>
        <v>3</v>
      </c>
      <c r="C5" s="14" t="s">
        <v>8</v>
      </c>
      <c r="D5" s="15">
        <f>'⚖️ Model'!E28</f>
        <v>7.8200000000000012</v>
      </c>
      <c r="E5" s="16">
        <f>'⚖️ Model'!E28/10</f>
        <v>0.78200000000000014</v>
      </c>
      <c r="F5" s="17" t="str">
        <f>IF('⚖️ Model'!E28&gt;=8,"⭐⭐⭐ Excellent",IF('⚖️ Model'!E28&gt;=6.5,"⭐⭐ Good",IF('⚖️ Model'!E28&gt;=5,"⭐ Average","❌ Below Par")))</f>
        <v>⭐⭐ Good</v>
      </c>
      <c r="G5" s="18">
        <f>'⚖️ Model'!E28-MAX('⚖️ Model'!E28:I28)</f>
        <v>-0.27999999999999847</v>
      </c>
      <c r="H5" s="19" t="str">
        <f>IF('⚖️ Model'!E29=1,"✅ AWARD CONTRACT — Best overall score",IF('⚖️ Model'!E29=2,"🔄 First Reserve — Consider for split order",IF('⚖️ Model'!E29=3,"💬 Negotiate — Good trade-off on price &amp; quality",IF('⚖️ Model'!E29=4,"⚠️ Conditional — Needs improvement in weak areas","❌ Not Recommended"))))</f>
        <v>💬 Negotiate — Good trade-off on price &amp; quality</v>
      </c>
    </row>
    <row r="6" spans="2:8" ht="27.75" customHeight="1" x14ac:dyDescent="0.2">
      <c r="B6" s="20">
        <f>'⚖️ Model'!F29</f>
        <v>1</v>
      </c>
      <c r="C6" s="21" t="s">
        <v>9</v>
      </c>
      <c r="D6" s="22">
        <f>'⚖️ Model'!F28</f>
        <v>8.1</v>
      </c>
      <c r="E6" s="23">
        <f>'⚖️ Model'!F28/10</f>
        <v>0.80999999999999994</v>
      </c>
      <c r="F6" s="24" t="str">
        <f>IF('⚖️ Model'!F28&gt;=8,"⭐⭐⭐ Excellent",IF('⚖️ Model'!F28&gt;=6.5,"⭐⭐ Good",IF('⚖️ Model'!F28&gt;=5,"⭐ Average","❌ Below Par")))</f>
        <v>⭐⭐⭐ Excellent</v>
      </c>
      <c r="G6" s="25">
        <f>'⚖️ Model'!F28-MAX('⚖️ Model'!E28:I28)</f>
        <v>0</v>
      </c>
      <c r="H6" s="26" t="str">
        <f>IF('⚖️ Model'!F29=1,"✅ AWARD CONTRACT — Best overall score",IF('⚖️ Model'!F29=2,"🔄 First Reserve — Consider for split order",IF('⚖️ Model'!F29=3,"💬 Negotiate — Good trade-off on price &amp; quality",IF('⚖️ Model'!F29=4,"⚠️ Conditional — Needs improvement in weak areas","❌ Not Recommended"))))</f>
        <v>✅ AWARD CONTRACT — Best overall score</v>
      </c>
    </row>
    <row r="7" spans="2:8" ht="27.75" customHeight="1" x14ac:dyDescent="0.2">
      <c r="B7" s="13">
        <f>'⚖️ Model'!G29</f>
        <v>1</v>
      </c>
      <c r="C7" s="14" t="s">
        <v>10</v>
      </c>
      <c r="D7" s="15">
        <f>'⚖️ Model'!G28</f>
        <v>8.1</v>
      </c>
      <c r="E7" s="16">
        <f>'⚖️ Model'!G28/10</f>
        <v>0.80999999999999994</v>
      </c>
      <c r="F7" s="17" t="str">
        <f>IF('⚖️ Model'!G28&gt;=8,"⭐⭐⭐ Excellent",IF('⚖️ Model'!G28&gt;=6.5,"⭐⭐ Good",IF('⚖️ Model'!G28&gt;=5,"⭐ Average","❌ Below Par")))</f>
        <v>⭐⭐⭐ Excellent</v>
      </c>
      <c r="G7" s="18">
        <f>'⚖️ Model'!G28-MAX('⚖️ Model'!E28:I28)</f>
        <v>0</v>
      </c>
      <c r="H7" s="19" t="str">
        <f>IF('⚖️ Model'!G29=1,"✅ AWARD CONTRACT — Best overall score",IF('⚖️ Model'!G29=2,"🔄 First Reserve — Consider for split order",IF('⚖️ Model'!G29=3,"💬 Negotiate — Good trade-off on price &amp; quality",IF('⚖️ Model'!G29=4,"⚠️ Conditional — Needs improvement in weak areas","❌ Not Recommended"))))</f>
        <v>✅ AWARD CONTRACT — Best overall score</v>
      </c>
    </row>
    <row r="8" spans="2:8" ht="27.75" customHeight="1" x14ac:dyDescent="0.2">
      <c r="B8" s="20">
        <f>'⚖️ Model'!H29</f>
        <v>5</v>
      </c>
      <c r="C8" s="21" t="s">
        <v>11</v>
      </c>
      <c r="D8" s="22">
        <f>'⚖️ Model'!H28</f>
        <v>7.4600000000000017</v>
      </c>
      <c r="E8" s="23">
        <f>'⚖️ Model'!H28/10</f>
        <v>0.74600000000000022</v>
      </c>
      <c r="F8" s="24" t="str">
        <f>IF('⚖️ Model'!H28&gt;=8,"⭐⭐⭐ Excellent",IF('⚖️ Model'!H28&gt;=6.5,"⭐⭐ Good",IF('⚖️ Model'!H28&gt;=5,"⭐ Average","❌ Below Par")))</f>
        <v>⭐⭐ Good</v>
      </c>
      <c r="G8" s="25">
        <f>'⚖️ Model'!H28-MAX('⚖️ Model'!E28:I28)</f>
        <v>-0.6399999999999979</v>
      </c>
      <c r="H8" s="26" t="str">
        <f>IF('⚖️ Model'!H29=1,"✅ AWARD CONTRACT — Best overall score",IF('⚖️ Model'!H29=2,"🔄 First Reserve — Consider for split order",IF('⚖️ Model'!H29=3,"💬 Negotiate — Good trade-off on price &amp; quality",IF('⚖️ Model'!H29=4,"⚠️ Conditional — Needs improvement in weak areas","❌ Not Recommended"))))</f>
        <v>❌ Not Recommended</v>
      </c>
    </row>
    <row r="9" spans="2:8" ht="27.75" customHeight="1" x14ac:dyDescent="0.2">
      <c r="B9" s="13">
        <f>'⚖️ Model'!I29</f>
        <v>4</v>
      </c>
      <c r="C9" s="14" t="s">
        <v>12</v>
      </c>
      <c r="D9" s="15">
        <f>'⚖️ Model'!I28</f>
        <v>7.8000000000000007</v>
      </c>
      <c r="E9" s="16">
        <f>'⚖️ Model'!I28/10</f>
        <v>0.78</v>
      </c>
      <c r="F9" s="17" t="str">
        <f>IF('⚖️ Model'!I28&gt;=8,"⭐⭐⭐ Excellent",IF('⚖️ Model'!I28&gt;=6.5,"⭐⭐ Good",IF('⚖️ Model'!I28&gt;=5,"⭐ Average","❌ Below Par")))</f>
        <v>⭐⭐ Good</v>
      </c>
      <c r="G9" s="18">
        <f>'⚖️ Model'!I28-MAX('⚖️ Model'!E28:I28)</f>
        <v>-0.29999999999999893</v>
      </c>
      <c r="H9" s="19" t="str">
        <f>IF('⚖️ Model'!I29=1,"✅ AWARD CONTRACT — Best overall score",IF('⚖️ Model'!I29=2,"🔄 First Reserve — Consider for split order",IF('⚖️ Model'!I29=3,"💬 Negotiate — Good trade-off on price &amp; quality",IF('⚖️ Model'!I29=4,"⚠️ Conditional — Needs improvement in weak areas","❌ Not Recommended"))))</f>
        <v>⚠️ Conditional — Needs improvement in weak areas</v>
      </c>
    </row>
    <row r="11" spans="2:8" ht="6" customHeight="1" x14ac:dyDescent="0.2"/>
    <row r="12" spans="2:8" ht="25.5" customHeight="1" x14ac:dyDescent="0.2">
      <c r="B12" s="9" t="s">
        <v>13</v>
      </c>
      <c r="C12" s="9"/>
      <c r="D12" s="9"/>
      <c r="E12" s="9"/>
      <c r="F12" s="9"/>
      <c r="G12" s="9"/>
      <c r="H12" s="9"/>
    </row>
    <row r="13" spans="2:8" ht="36" customHeight="1" x14ac:dyDescent="0.2">
      <c r="B13" s="27" t="s">
        <v>14</v>
      </c>
      <c r="C13" s="27" t="s">
        <v>15</v>
      </c>
      <c r="D13" s="27" t="s">
        <v>16</v>
      </c>
      <c r="E13" s="27" t="s">
        <v>17</v>
      </c>
      <c r="F13" s="27" t="s">
        <v>18</v>
      </c>
      <c r="G13" s="27" t="s">
        <v>19</v>
      </c>
      <c r="H13" s="27" t="s">
        <v>20</v>
      </c>
    </row>
    <row r="14" spans="2:8" ht="24" customHeight="1" x14ac:dyDescent="0.2">
      <c r="B14" s="28" t="str">
        <f>'⚖️ Model'!B7</f>
        <v>Product Quality &amp; BIS Certification</v>
      </c>
      <c r="C14" s="29">
        <f>'⚖️ Model'!C7/100</f>
        <v>0.22</v>
      </c>
      <c r="D14" s="30">
        <f>'⚖️ Model'!E7</f>
        <v>8</v>
      </c>
      <c r="E14" s="30">
        <f>'⚖️ Model'!F7</f>
        <v>9</v>
      </c>
      <c r="F14" s="30">
        <f>'⚖️ Model'!G7</f>
        <v>9</v>
      </c>
      <c r="G14" s="30">
        <f>'⚖️ Model'!H7</f>
        <v>7</v>
      </c>
      <c r="H14" s="30">
        <f>'⚖️ Model'!I7</f>
        <v>8</v>
      </c>
    </row>
    <row r="15" spans="2:8" ht="24" customHeight="1" x14ac:dyDescent="0.2">
      <c r="B15" s="31" t="str">
        <f>'⚖️ Model'!B8</f>
        <v>Unit Price Competitiveness</v>
      </c>
      <c r="C15" s="32">
        <f>'⚖️ Model'!C8/100</f>
        <v>0.2</v>
      </c>
      <c r="D15" s="33">
        <f>'⚖️ Model'!E8</f>
        <v>9</v>
      </c>
      <c r="E15" s="33">
        <f>'⚖️ Model'!F8</f>
        <v>7</v>
      </c>
      <c r="F15" s="33">
        <f>'⚖️ Model'!G8</f>
        <v>5</v>
      </c>
      <c r="G15" s="33">
        <f>'⚖️ Model'!H8</f>
        <v>8</v>
      </c>
      <c r="H15" s="33">
        <f>'⚖️ Model'!I8</f>
        <v>8</v>
      </c>
    </row>
    <row r="16" spans="2:8" ht="24" customHeight="1" x14ac:dyDescent="0.2">
      <c r="B16" s="28" t="str">
        <f>'⚖️ Model'!B9</f>
        <v>On-Time Delivery Reliability</v>
      </c>
      <c r="C16" s="29">
        <f>'⚖️ Model'!C9/100</f>
        <v>0.18</v>
      </c>
      <c r="D16" s="30">
        <f>'⚖️ Model'!E9</f>
        <v>7</v>
      </c>
      <c r="E16" s="30">
        <f>'⚖️ Model'!F9</f>
        <v>8</v>
      </c>
      <c r="F16" s="30">
        <f>'⚖️ Model'!G9</f>
        <v>9</v>
      </c>
      <c r="G16" s="30">
        <f>'⚖️ Model'!H9</f>
        <v>7</v>
      </c>
      <c r="H16" s="30">
        <f>'⚖️ Model'!I9</f>
        <v>8</v>
      </c>
    </row>
    <row r="17" spans="2:8" ht="24" customHeight="1" x14ac:dyDescent="0.2">
      <c r="B17" s="31" t="str">
        <f>'⚖️ Model'!B10</f>
        <v>Financial Stability (CRISIL/ICRA)</v>
      </c>
      <c r="C17" s="32">
        <f>'⚖️ Model'!C10/100</f>
        <v>0.12</v>
      </c>
      <c r="D17" s="33">
        <f>'⚖️ Model'!E10</f>
        <v>8</v>
      </c>
      <c r="E17" s="33">
        <f>'⚖️ Model'!F10</f>
        <v>9</v>
      </c>
      <c r="F17" s="33">
        <f>'⚖️ Model'!G10</f>
        <v>9</v>
      </c>
      <c r="G17" s="33">
        <f>'⚖️ Model'!H10</f>
        <v>7</v>
      </c>
      <c r="H17" s="33">
        <f>'⚖️ Model'!I10</f>
        <v>7</v>
      </c>
    </row>
    <row r="18" spans="2:8" ht="24" customHeight="1" x14ac:dyDescent="0.2">
      <c r="B18" s="28" t="str">
        <f>'⚖️ Model'!B11</f>
        <v>Production Capacity</v>
      </c>
      <c r="C18" s="29">
        <f>'⚖️ Model'!C11/100</f>
        <v>0.1</v>
      </c>
      <c r="D18" s="30">
        <f>'⚖️ Model'!E11</f>
        <v>7</v>
      </c>
      <c r="E18" s="30">
        <f>'⚖️ Model'!F11</f>
        <v>8</v>
      </c>
      <c r="F18" s="30">
        <f>'⚖️ Model'!G11</f>
        <v>9</v>
      </c>
      <c r="G18" s="30">
        <f>'⚖️ Model'!H11</f>
        <v>9</v>
      </c>
      <c r="H18" s="30">
        <f>'⚖️ Model'!I11</f>
        <v>7</v>
      </c>
    </row>
    <row r="19" spans="2:8" ht="24" customHeight="1" x14ac:dyDescent="0.2">
      <c r="B19" s="31" t="str">
        <f>'⚖️ Model'!B12</f>
        <v>ESG &amp; BRSR Compliance</v>
      </c>
      <c r="C19" s="32">
        <f>'⚖️ Model'!C12/100</f>
        <v>0.08</v>
      </c>
      <c r="D19" s="33">
        <f>'⚖️ Model'!E12</f>
        <v>6</v>
      </c>
      <c r="E19" s="33">
        <f>'⚖️ Model'!F12</f>
        <v>8</v>
      </c>
      <c r="F19" s="33">
        <f>'⚖️ Model'!G12</f>
        <v>9</v>
      </c>
      <c r="G19" s="33">
        <f>'⚖️ Model'!H12</f>
        <v>7</v>
      </c>
      <c r="H19" s="33">
        <f>'⚖️ Model'!I12</f>
        <v>7</v>
      </c>
    </row>
    <row r="20" spans="2:8" ht="24" customHeight="1" x14ac:dyDescent="0.2">
      <c r="B20" s="28" t="str">
        <f>'⚖️ Model'!B13</f>
        <v>GST &amp; MSME Compliance</v>
      </c>
      <c r="C20" s="29">
        <f>'⚖️ Model'!C13/100</f>
        <v>0.06</v>
      </c>
      <c r="D20" s="30">
        <f>'⚖️ Model'!E13</f>
        <v>9</v>
      </c>
      <c r="E20" s="30">
        <f>'⚖️ Model'!F13</f>
        <v>8</v>
      </c>
      <c r="F20" s="30">
        <f>'⚖️ Model'!G13</f>
        <v>8</v>
      </c>
      <c r="G20" s="30">
        <f>'⚖️ Model'!H13</f>
        <v>8</v>
      </c>
      <c r="H20" s="30">
        <f>'⚖️ Model'!I13</f>
        <v>9</v>
      </c>
    </row>
    <row r="21" spans="2:8" ht="24" customHeight="1" x14ac:dyDescent="0.2">
      <c r="B21" s="31" t="str">
        <f>'⚖️ Model'!B14</f>
        <v>After-Sales &amp; Lead Time</v>
      </c>
      <c r="C21" s="32">
        <f>'⚖️ Model'!C14/100</f>
        <v>0.04</v>
      </c>
      <c r="D21" s="33">
        <f>'⚖️ Model'!E14</f>
        <v>8</v>
      </c>
      <c r="E21" s="33">
        <f>'⚖️ Model'!F14</f>
        <v>7</v>
      </c>
      <c r="F21" s="33">
        <f>'⚖️ Model'!G14</f>
        <v>8</v>
      </c>
      <c r="G21" s="33">
        <f>'⚖️ Model'!H14</f>
        <v>7</v>
      </c>
      <c r="H21" s="33">
        <f>'⚖️ Model'!I14</f>
        <v>9</v>
      </c>
    </row>
  </sheetData>
  <mergeCells count="3">
    <mergeCell ref="B2:H2"/>
    <mergeCell ref="B3:H3"/>
    <mergeCell ref="B12:H12"/>
  </mergeCells>
  <conditionalFormatting sqref="B5:B9">
    <cfRule type="cellIs" dxfId="3" priority="3" operator="equal">
      <formula>1</formula>
    </cfRule>
    <cfRule type="cellIs" dxfId="2" priority="4" operator="equal">
      <formula>5</formula>
    </cfRule>
  </conditionalFormatting>
  <conditionalFormatting sqref="D5:D9">
    <cfRule type="colorScale" priority="2">
      <colorScale>
        <cfvo type="min"/>
        <cfvo type="percentile" val="50"/>
        <cfvo type="max"/>
        <color rgb="FFFFCCCC"/>
        <color rgb="FFFFFF99"/>
        <color rgb="FF70AD47"/>
      </colorScale>
    </cfRule>
  </conditionalFormatting>
  <conditionalFormatting sqref="D14:H21">
    <cfRule type="colorScale" priority="5">
      <colorScale>
        <cfvo type="num" val="1"/>
        <cfvo type="num" val="5"/>
        <cfvo type="num" val="10"/>
        <color rgb="FFFF6B6B"/>
        <color rgb="FFFFD700"/>
        <color rgb="FF70AD47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00"/>
  </sheetPr>
  <dimension ref="B1:I49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2.015625" customWidth="1"/>
    <col min="2" max="2" width="29.99609375" customWidth="1"/>
    <col min="3" max="3" width="9.01171875" customWidth="1"/>
    <col min="4" max="4" width="2.015625" customWidth="1"/>
    <col min="5" max="9" width="16.0078125" customWidth="1"/>
    <col min="10" max="10" width="2.015625" customWidth="1"/>
  </cols>
  <sheetData>
    <row r="1" spans="2:9" ht="6" customHeight="1" x14ac:dyDescent="0.2"/>
    <row r="2" spans="2:9" ht="43.5" customHeight="1" x14ac:dyDescent="0.2">
      <c r="B2" s="11" t="s">
        <v>21</v>
      </c>
      <c r="C2" s="11"/>
      <c r="D2" s="11"/>
      <c r="E2" s="11"/>
      <c r="F2" s="11"/>
      <c r="G2" s="11"/>
      <c r="H2" s="11"/>
      <c r="I2" s="11"/>
    </row>
    <row r="3" spans="2:9" ht="21.75" customHeight="1" x14ac:dyDescent="0.2">
      <c r="B3" s="8" t="str">
        <f>IF(SUM(C7:C14)=100,"✅  Weights sum to 100%  —  Model is VALID  |  Change any BLUE cell and everything recalculates automatically","⚠️  WARNING: Weights = "&amp;SUM(C7:C14)&amp;"%  —  Must equal 100%")</f>
        <v>✅  Weights sum to 100%  —  Model is VALID  |  Change any BLUE cell and everything recalculates automatically</v>
      </c>
      <c r="C3" s="8"/>
      <c r="D3" s="8"/>
      <c r="E3" s="8"/>
      <c r="F3" s="8"/>
      <c r="G3" s="8"/>
      <c r="H3" s="8"/>
      <c r="I3" s="8"/>
    </row>
    <row r="4" spans="2:9" ht="43.5" customHeight="1" x14ac:dyDescent="0.2">
      <c r="B4" s="34" t="s">
        <v>22</v>
      </c>
      <c r="C4" s="12" t="s">
        <v>23</v>
      </c>
      <c r="E4" s="27" t="s">
        <v>24</v>
      </c>
      <c r="F4" s="27" t="s">
        <v>25</v>
      </c>
      <c r="G4" s="27" t="s">
        <v>26</v>
      </c>
      <c r="H4" s="27" t="s">
        <v>27</v>
      </c>
      <c r="I4" s="27" t="s">
        <v>28</v>
      </c>
    </row>
    <row r="5" spans="2:9" ht="19.5" customHeight="1" x14ac:dyDescent="0.2"/>
    <row r="6" spans="2:9" ht="19.5" customHeight="1" x14ac:dyDescent="0.2"/>
    <row r="7" spans="2:9" ht="25.5" customHeight="1" x14ac:dyDescent="0.2">
      <c r="B7" s="35" t="s">
        <v>29</v>
      </c>
      <c r="C7" s="36">
        <v>22</v>
      </c>
      <c r="E7" s="37">
        <v>8</v>
      </c>
      <c r="F7" s="37">
        <v>9</v>
      </c>
      <c r="G7" s="37">
        <v>9</v>
      </c>
      <c r="H7" s="37">
        <v>7</v>
      </c>
      <c r="I7" s="37">
        <v>8</v>
      </c>
    </row>
    <row r="8" spans="2:9" ht="25.5" customHeight="1" x14ac:dyDescent="0.2">
      <c r="B8" s="35" t="s">
        <v>30</v>
      </c>
      <c r="C8" s="36">
        <v>20</v>
      </c>
      <c r="E8" s="37">
        <v>9</v>
      </c>
      <c r="F8" s="37">
        <v>7</v>
      </c>
      <c r="G8" s="37">
        <v>5</v>
      </c>
      <c r="H8" s="37">
        <v>8</v>
      </c>
      <c r="I8" s="37">
        <v>8</v>
      </c>
    </row>
    <row r="9" spans="2:9" ht="25.5" customHeight="1" x14ac:dyDescent="0.2">
      <c r="B9" s="35" t="s">
        <v>31</v>
      </c>
      <c r="C9" s="36">
        <v>18</v>
      </c>
      <c r="E9" s="37">
        <v>7</v>
      </c>
      <c r="F9" s="37">
        <v>8</v>
      </c>
      <c r="G9" s="37">
        <v>9</v>
      </c>
      <c r="H9" s="37">
        <v>7</v>
      </c>
      <c r="I9" s="37">
        <v>8</v>
      </c>
    </row>
    <row r="10" spans="2:9" ht="25.5" customHeight="1" x14ac:dyDescent="0.2">
      <c r="B10" s="35" t="s">
        <v>32</v>
      </c>
      <c r="C10" s="36">
        <v>12</v>
      </c>
      <c r="E10" s="37">
        <v>8</v>
      </c>
      <c r="F10" s="37">
        <v>9</v>
      </c>
      <c r="G10" s="37">
        <v>9</v>
      </c>
      <c r="H10" s="37">
        <v>7</v>
      </c>
      <c r="I10" s="37">
        <v>7</v>
      </c>
    </row>
    <row r="11" spans="2:9" ht="25.5" customHeight="1" x14ac:dyDescent="0.2">
      <c r="B11" s="35" t="s">
        <v>33</v>
      </c>
      <c r="C11" s="36">
        <v>10</v>
      </c>
      <c r="E11" s="37">
        <v>7</v>
      </c>
      <c r="F11" s="37">
        <v>8</v>
      </c>
      <c r="G11" s="37">
        <v>9</v>
      </c>
      <c r="H11" s="37">
        <v>9</v>
      </c>
      <c r="I11" s="37">
        <v>7</v>
      </c>
    </row>
    <row r="12" spans="2:9" ht="25.5" customHeight="1" x14ac:dyDescent="0.2">
      <c r="B12" s="35" t="s">
        <v>34</v>
      </c>
      <c r="C12" s="36">
        <v>8</v>
      </c>
      <c r="E12" s="37">
        <v>6</v>
      </c>
      <c r="F12" s="37">
        <v>8</v>
      </c>
      <c r="G12" s="37">
        <v>9</v>
      </c>
      <c r="H12" s="37">
        <v>7</v>
      </c>
      <c r="I12" s="37">
        <v>7</v>
      </c>
    </row>
    <row r="13" spans="2:9" ht="25.5" customHeight="1" x14ac:dyDescent="0.2">
      <c r="B13" s="35" t="s">
        <v>35</v>
      </c>
      <c r="C13" s="36">
        <v>6</v>
      </c>
      <c r="E13" s="37">
        <v>9</v>
      </c>
      <c r="F13" s="37">
        <v>8</v>
      </c>
      <c r="G13" s="37">
        <v>8</v>
      </c>
      <c r="H13" s="37">
        <v>8</v>
      </c>
      <c r="I13" s="37">
        <v>9</v>
      </c>
    </row>
    <row r="14" spans="2:9" ht="25.5" customHeight="1" x14ac:dyDescent="0.2">
      <c r="B14" s="35" t="s">
        <v>36</v>
      </c>
      <c r="C14" s="36">
        <v>4</v>
      </c>
      <c r="E14" s="37">
        <v>8</v>
      </c>
      <c r="F14" s="37">
        <v>7</v>
      </c>
      <c r="G14" s="37">
        <v>8</v>
      </c>
      <c r="H14" s="37">
        <v>7</v>
      </c>
      <c r="I14" s="37">
        <v>9</v>
      </c>
    </row>
    <row r="15" spans="2:9" ht="25.5" customHeight="1" x14ac:dyDescent="0.2">
      <c r="B15" s="38" t="s">
        <v>37</v>
      </c>
      <c r="C15" s="39">
        <f>SUM(C7:C14)</f>
        <v>100</v>
      </c>
      <c r="E15" s="40"/>
      <c r="F15" s="40"/>
      <c r="G15" s="40"/>
      <c r="H15" s="40"/>
      <c r="I15" s="40"/>
    </row>
    <row r="16" spans="2:9" ht="7.5" customHeight="1" x14ac:dyDescent="0.2"/>
    <row r="17" spans="2:9" ht="25.5" customHeight="1" x14ac:dyDescent="0.2">
      <c r="B17" s="9" t="s">
        <v>38</v>
      </c>
      <c r="C17" s="9"/>
      <c r="D17" s="9"/>
      <c r="E17" s="9"/>
      <c r="F17" s="9"/>
      <c r="G17" s="9"/>
      <c r="H17" s="9"/>
      <c r="I17" s="9"/>
    </row>
    <row r="18" spans="2:9" ht="39.75" customHeight="1" x14ac:dyDescent="0.2">
      <c r="B18" s="41" t="s">
        <v>14</v>
      </c>
      <c r="C18" s="41" t="s">
        <v>15</v>
      </c>
      <c r="E18" s="41" t="s">
        <v>39</v>
      </c>
      <c r="F18" s="41" t="s">
        <v>40</v>
      </c>
      <c r="G18" s="41" t="s">
        <v>41</v>
      </c>
      <c r="H18" s="41" t="s">
        <v>42</v>
      </c>
      <c r="I18" s="41" t="s">
        <v>43</v>
      </c>
    </row>
    <row r="19" spans="2:9" ht="21.75" customHeight="1" x14ac:dyDescent="0.2">
      <c r="B19" s="42" t="str">
        <f>B7</f>
        <v>Product Quality &amp; BIS Certification</v>
      </c>
      <c r="C19" s="43">
        <f>C7/100</f>
        <v>0.22</v>
      </c>
      <c r="E19" s="44">
        <f>(C7/100)*E7</f>
        <v>1.76</v>
      </c>
      <c r="F19" s="44">
        <f>(C7/100)*F7</f>
        <v>1.98</v>
      </c>
      <c r="G19" s="44">
        <f>(C7/100)*G7</f>
        <v>1.98</v>
      </c>
      <c r="H19" s="44">
        <f>(C7/100)*H7</f>
        <v>1.54</v>
      </c>
      <c r="I19" s="44">
        <f>(C7/100)*I7</f>
        <v>1.76</v>
      </c>
    </row>
    <row r="20" spans="2:9" ht="21.75" customHeight="1" x14ac:dyDescent="0.2">
      <c r="B20" s="42" t="str">
        <f>B8</f>
        <v>Unit Price Competitiveness</v>
      </c>
      <c r="C20" s="43">
        <f>C8/100</f>
        <v>0.2</v>
      </c>
      <c r="E20" s="44">
        <f>(C8/100)*E8</f>
        <v>1.8</v>
      </c>
      <c r="F20" s="44">
        <f>(C8/100)*F8</f>
        <v>1.4000000000000001</v>
      </c>
      <c r="G20" s="44">
        <f>(C8/100)*G8</f>
        <v>1</v>
      </c>
      <c r="H20" s="44">
        <f>(C8/100)*H8</f>
        <v>1.6</v>
      </c>
      <c r="I20" s="44">
        <f>(C8/100)*I8</f>
        <v>1.6</v>
      </c>
    </row>
    <row r="21" spans="2:9" ht="21.75" customHeight="1" x14ac:dyDescent="0.2">
      <c r="B21" s="42" t="str">
        <f>B9</f>
        <v>On-Time Delivery Reliability</v>
      </c>
      <c r="C21" s="43">
        <f>C9/100</f>
        <v>0.18</v>
      </c>
      <c r="E21" s="44">
        <f>(C9/100)*E9</f>
        <v>1.26</v>
      </c>
      <c r="F21" s="44">
        <f>(C9/100)*F9</f>
        <v>1.44</v>
      </c>
      <c r="G21" s="44">
        <f>(C9/100)*G9</f>
        <v>1.6199999999999999</v>
      </c>
      <c r="H21" s="44">
        <f>(C9/100)*H9</f>
        <v>1.26</v>
      </c>
      <c r="I21" s="44">
        <f>(C9/100)*I9</f>
        <v>1.44</v>
      </c>
    </row>
    <row r="22" spans="2:9" ht="21.75" customHeight="1" x14ac:dyDescent="0.2">
      <c r="B22" s="42" t="str">
        <f>B10</f>
        <v>Financial Stability (CRISIL/ICRA)</v>
      </c>
      <c r="C22" s="43">
        <f>C10/100</f>
        <v>0.12</v>
      </c>
      <c r="E22" s="44">
        <f>(C10/100)*E10</f>
        <v>0.96</v>
      </c>
      <c r="F22" s="44">
        <f>(C10/100)*F10</f>
        <v>1.08</v>
      </c>
      <c r="G22" s="44">
        <f>(C10/100)*G10</f>
        <v>1.08</v>
      </c>
      <c r="H22" s="44">
        <f>(C10/100)*H10</f>
        <v>0.84</v>
      </c>
      <c r="I22" s="44">
        <f>(C10/100)*I10</f>
        <v>0.84</v>
      </c>
    </row>
    <row r="23" spans="2:9" ht="21.75" customHeight="1" x14ac:dyDescent="0.2">
      <c r="B23" s="42" t="str">
        <f>B11</f>
        <v>Production Capacity</v>
      </c>
      <c r="C23" s="43">
        <f>C11/100</f>
        <v>0.1</v>
      </c>
      <c r="E23" s="44">
        <f>(C11/100)*E11</f>
        <v>0.70000000000000007</v>
      </c>
      <c r="F23" s="44">
        <f>(C11/100)*F11</f>
        <v>0.8</v>
      </c>
      <c r="G23" s="44">
        <f>(C11/100)*G11</f>
        <v>0.9</v>
      </c>
      <c r="H23" s="44">
        <f>(C11/100)*H11</f>
        <v>0.9</v>
      </c>
      <c r="I23" s="44">
        <f>(C11/100)*I11</f>
        <v>0.70000000000000007</v>
      </c>
    </row>
    <row r="24" spans="2:9" ht="21.75" customHeight="1" x14ac:dyDescent="0.2">
      <c r="B24" s="42" t="str">
        <f>B12</f>
        <v>ESG &amp; BRSR Compliance</v>
      </c>
      <c r="C24" s="43">
        <f>C12/100</f>
        <v>0.08</v>
      </c>
      <c r="E24" s="44">
        <f>(C12/100)*E12</f>
        <v>0.48</v>
      </c>
      <c r="F24" s="44">
        <f>(C12/100)*F12</f>
        <v>0.64</v>
      </c>
      <c r="G24" s="44">
        <f>(C12/100)*G12</f>
        <v>0.72</v>
      </c>
      <c r="H24" s="44">
        <f>(C12/100)*H12</f>
        <v>0.56000000000000005</v>
      </c>
      <c r="I24" s="44">
        <f>(C12/100)*I12</f>
        <v>0.56000000000000005</v>
      </c>
    </row>
    <row r="25" spans="2:9" ht="21.75" customHeight="1" x14ac:dyDescent="0.2">
      <c r="B25" s="42" t="str">
        <f>B13</f>
        <v>GST &amp; MSME Compliance</v>
      </c>
      <c r="C25" s="43">
        <f>C13/100</f>
        <v>0.06</v>
      </c>
      <c r="E25" s="44">
        <f>(C13/100)*E13</f>
        <v>0.54</v>
      </c>
      <c r="F25" s="44">
        <f>(C13/100)*F13</f>
        <v>0.48</v>
      </c>
      <c r="G25" s="44">
        <f>(C13/100)*G13</f>
        <v>0.48</v>
      </c>
      <c r="H25" s="44">
        <f>(C13/100)*H13</f>
        <v>0.48</v>
      </c>
      <c r="I25" s="44">
        <f>(C13/100)*I13</f>
        <v>0.54</v>
      </c>
    </row>
    <row r="26" spans="2:9" ht="21.75" customHeight="1" x14ac:dyDescent="0.2">
      <c r="B26" s="42" t="str">
        <f>B14</f>
        <v>After-Sales &amp; Lead Time</v>
      </c>
      <c r="C26" s="43">
        <f>C14/100</f>
        <v>0.04</v>
      </c>
      <c r="E26" s="44">
        <f>(C14/100)*E14</f>
        <v>0.32</v>
      </c>
      <c r="F26" s="44">
        <f>(C14/100)*F14</f>
        <v>0.28000000000000003</v>
      </c>
      <c r="G26" s="44">
        <f>(C14/100)*G14</f>
        <v>0.32</v>
      </c>
      <c r="H26" s="44">
        <f>(C14/100)*H14</f>
        <v>0.28000000000000003</v>
      </c>
      <c r="I26" s="44">
        <f>(C14/100)*I14</f>
        <v>0.36</v>
      </c>
    </row>
    <row r="27" spans="2:9" ht="19.5" customHeight="1" x14ac:dyDescent="0.2"/>
    <row r="28" spans="2:9" ht="31.5" customHeight="1" x14ac:dyDescent="0.2">
      <c r="B28" s="45" t="s">
        <v>44</v>
      </c>
      <c r="C28" s="40"/>
      <c r="E28" s="46">
        <f>SUM(E19:E26)</f>
        <v>7.8200000000000012</v>
      </c>
      <c r="F28" s="46">
        <f>SUM(F19:F26)</f>
        <v>8.1</v>
      </c>
      <c r="G28" s="46">
        <f>SUM(G19:G26)</f>
        <v>8.1</v>
      </c>
      <c r="H28" s="46">
        <f>SUM(H19:H26)</f>
        <v>7.4600000000000017</v>
      </c>
      <c r="I28" s="46">
        <f>SUM(I19:I26)</f>
        <v>7.8000000000000007</v>
      </c>
    </row>
    <row r="29" spans="2:9" ht="27.75" customHeight="1" x14ac:dyDescent="0.2">
      <c r="B29" s="47" t="s">
        <v>45</v>
      </c>
      <c r="C29" s="48"/>
      <c r="E29" s="49">
        <f>RANK(E28,$E$28:$I$28,0)</f>
        <v>3</v>
      </c>
      <c r="F29" s="49">
        <f>RANK(F28,$E$28:$I$28,0)</f>
        <v>1</v>
      </c>
      <c r="G29" s="49">
        <f>RANK(G28,$E$28:$I$28,0)</f>
        <v>1</v>
      </c>
      <c r="H29" s="49">
        <f>RANK(H28,$E$28:$I$28,0)</f>
        <v>5</v>
      </c>
      <c r="I29" s="49">
        <f>RANK(I28,$E$28:$I$28,0)</f>
        <v>4</v>
      </c>
    </row>
    <row r="30" spans="2:9" ht="33.75" customHeight="1" x14ac:dyDescent="0.2">
      <c r="B30" s="50" t="s">
        <v>46</v>
      </c>
      <c r="C30" s="51"/>
      <c r="E30" s="7" t="str">
        <f>INDEX({"Parle Agro","TCPL Packaging","Huhtamaki India","Uflex Ltd","Manjushree Technopack"},MATCH(MAX(E28:I28),E28:I28,0))&amp;"  wins with a weighted score of  "&amp;TEXT(MAX(E28:I28),"0.00")&amp;" / 10.00"</f>
        <v>TCPL Packaging  wins with a weighted score of  8.10 / 10.00</v>
      </c>
      <c r="F30" s="7"/>
      <c r="G30" s="7"/>
      <c r="H30" s="7"/>
      <c r="I30" s="7"/>
    </row>
    <row r="31" spans="2:9" ht="19.5" customHeight="1" x14ac:dyDescent="0.2"/>
    <row r="32" spans="2:9" ht="18" customHeight="1" x14ac:dyDescent="0.2">
      <c r="B32" s="6" t="s">
        <v>47</v>
      </c>
      <c r="C32" s="6"/>
      <c r="D32" s="6"/>
      <c r="E32" s="6"/>
      <c r="F32" s="6"/>
      <c r="G32" s="6"/>
      <c r="H32" s="6"/>
      <c r="I32" s="6"/>
    </row>
    <row r="33" spans="2:9" ht="18" customHeight="1" x14ac:dyDescent="0.2">
      <c r="B33" s="6" t="s">
        <v>48</v>
      </c>
      <c r="C33" s="6"/>
      <c r="D33" s="6"/>
      <c r="E33" s="6"/>
      <c r="F33" s="6"/>
      <c r="G33" s="6"/>
      <c r="H33" s="6"/>
      <c r="I33" s="6"/>
    </row>
    <row r="34" spans="2:9" ht="18" customHeight="1" x14ac:dyDescent="0.2"/>
    <row r="35" spans="2:9" ht="18" customHeight="1" x14ac:dyDescent="0.2"/>
    <row r="36" spans="2:9" ht="19.5" customHeight="1" x14ac:dyDescent="0.2"/>
    <row r="37" spans="2:9" ht="19.5" customHeight="1" x14ac:dyDescent="0.2"/>
    <row r="38" spans="2:9" ht="19.5" customHeight="1" x14ac:dyDescent="0.2"/>
    <row r="39" spans="2:9" ht="19.5" customHeight="1" x14ac:dyDescent="0.2"/>
    <row r="40" spans="2:9" ht="19.5" customHeight="1" x14ac:dyDescent="0.2"/>
    <row r="41" spans="2:9" ht="19.5" customHeight="1" x14ac:dyDescent="0.2"/>
    <row r="42" spans="2:9" ht="19.5" customHeight="1" x14ac:dyDescent="0.2"/>
    <row r="43" spans="2:9" ht="19.5" customHeight="1" x14ac:dyDescent="0.2"/>
    <row r="44" spans="2:9" ht="19.5" customHeight="1" x14ac:dyDescent="0.2"/>
    <row r="45" spans="2:9" ht="19.5" customHeight="1" x14ac:dyDescent="0.2"/>
    <row r="46" spans="2:9" ht="19.5" customHeight="1" x14ac:dyDescent="0.2"/>
    <row r="47" spans="2:9" ht="19.5" customHeight="1" x14ac:dyDescent="0.2"/>
    <row r="48" spans="2:9" ht="19.5" customHeight="1" x14ac:dyDescent="0.2"/>
    <row r="49" ht="19.5" customHeight="1" x14ac:dyDescent="0.2"/>
  </sheetData>
  <mergeCells count="6">
    <mergeCell ref="B33:I33"/>
    <mergeCell ref="B2:I2"/>
    <mergeCell ref="B3:I3"/>
    <mergeCell ref="B17:I17"/>
    <mergeCell ref="E30:I30"/>
    <mergeCell ref="B32:I32"/>
  </mergeCells>
  <conditionalFormatting sqref="E7:I14">
    <cfRule type="colorScale" priority="2">
      <colorScale>
        <cfvo type="num" val="1"/>
        <cfvo type="num" val="5"/>
        <cfvo type="num" val="10"/>
        <color rgb="FFFF6B6B"/>
        <color rgb="FFFFD700"/>
        <color rgb="FF70AD47"/>
      </colorScale>
    </cfRule>
  </conditionalFormatting>
  <conditionalFormatting sqref="E28:I28">
    <cfRule type="colorScale" priority="3">
      <colorScale>
        <cfvo type="min"/>
        <cfvo type="percentile" val="50"/>
        <cfvo type="max"/>
        <color rgb="FFFFCCCC"/>
        <color rgb="FFFFFF99"/>
        <color rgb="FF70AD47"/>
      </colorScale>
    </cfRule>
  </conditionalFormatting>
  <conditionalFormatting sqref="E29:I29">
    <cfRule type="cellIs" dxfId="1" priority="4" operator="equal">
      <formula>1</formula>
    </cfRule>
    <cfRule type="cellIs" dxfId="0" priority="5" operator="equal">
      <formula>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B1:P54"/>
  <sheetViews>
    <sheetView showGridLines="0" zoomScaleNormal="100" workbookViewId="0"/>
  </sheetViews>
  <sheetFormatPr defaultColWidth="8.7421875" defaultRowHeight="15" x14ac:dyDescent="0.2"/>
  <cols>
    <col min="1" max="1" width="2.015625" customWidth="1"/>
    <col min="2" max="2" width="27.98046875" customWidth="1"/>
    <col min="3" max="19" width="11.02734375" customWidth="1"/>
  </cols>
  <sheetData>
    <row r="1" spans="2:16" ht="6" customHeight="1" x14ac:dyDescent="0.2"/>
    <row r="2" spans="2:16" ht="45.75" customHeight="1" x14ac:dyDescent="0.2">
      <c r="B2" s="5" t="s">
        <v>49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2:16" ht="25.5" customHeight="1" x14ac:dyDescent="0.2">
      <c r="B3" s="10" t="str">
        <f>'⚖️ Model'!E30</f>
        <v>TCPL Packaging  wins with a weighted score of  8.10 / 10.00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2:16" ht="18" customHeight="1" x14ac:dyDescent="0.2"/>
    <row r="5" spans="2:16" ht="69.75" customHeight="1" x14ac:dyDescent="0.2">
      <c r="B5" s="4" t="str">
        <f>'⚖️ Model'!E29&amp;"  |  Parle Agro
"&amp;TEXT('⚖️ Model'!E28,"0.00")&amp;" / 10"</f>
        <v>3  |  Parle Agro
7.82 / 10</v>
      </c>
      <c r="C5" s="4"/>
      <c r="D5" s="3" t="str">
        <f>'⚖️ Model'!F29&amp;"  |  TCPL Pkg
"&amp;TEXT('⚖️ Model'!F28,"0.00")&amp;" / 10"</f>
        <v>1  |  TCPL Pkg
8.10 / 10</v>
      </c>
      <c r="E5" s="3"/>
      <c r="F5" s="2" t="str">
        <f>'⚖️ Model'!G29&amp;"  |  Huhtamaki
"&amp;TEXT('⚖️ Model'!G28,"0.00")&amp;" / 10"</f>
        <v>1  |  Huhtamaki
8.10 / 10</v>
      </c>
      <c r="G5" s="2"/>
      <c r="I5" s="1" t="str">
        <f>'⚖️ Model'!H29&amp;"  |  Uflex
"&amp;TEXT('⚖️ Model'!H28,"0.00")&amp;" / 10"</f>
        <v>5  |  Uflex
7.46 / 10</v>
      </c>
      <c r="J5" s="1"/>
      <c r="L5" s="61" t="str">
        <f>'⚖️ Model'!I29&amp;"  |  Manjushree
"&amp;TEXT('⚖️ Model'!I28,"0.00")&amp;" / 10"</f>
        <v>4  |  Manjushree
7.80 / 10</v>
      </c>
      <c r="M5" s="61"/>
    </row>
    <row r="6" spans="2:16" ht="18" customHeight="1" x14ac:dyDescent="0.2"/>
    <row r="7" spans="2:16" ht="25.5" customHeight="1" x14ac:dyDescent="0.2">
      <c r="B7" s="8" t="s">
        <v>50</v>
      </c>
      <c r="C7" s="8"/>
      <c r="D7" s="8"/>
      <c r="E7" s="8"/>
      <c r="F7" s="8"/>
      <c r="G7" s="8"/>
      <c r="H7" s="8"/>
    </row>
    <row r="8" spans="2:16" ht="18" customHeight="1" x14ac:dyDescent="0.2">
      <c r="B8" s="52" t="s">
        <v>51</v>
      </c>
      <c r="C8" s="52" t="s">
        <v>52</v>
      </c>
      <c r="E8" s="53" t="s">
        <v>53</v>
      </c>
      <c r="F8" s="54" t="s">
        <v>54</v>
      </c>
      <c r="H8" s="54" t="s">
        <v>53</v>
      </c>
      <c r="I8" s="54" t="s">
        <v>55</v>
      </c>
      <c r="J8" s="54" t="s">
        <v>56</v>
      </c>
      <c r="K8" s="54" t="s">
        <v>18</v>
      </c>
      <c r="L8" s="54" t="s">
        <v>19</v>
      </c>
      <c r="M8" s="54" t="s">
        <v>20</v>
      </c>
    </row>
    <row r="9" spans="2:16" ht="19.5" customHeight="1" x14ac:dyDescent="0.2">
      <c r="B9" s="55" t="s">
        <v>16</v>
      </c>
      <c r="C9" s="56">
        <f>'⚖️ Model'!E28</f>
        <v>7.8200000000000012</v>
      </c>
      <c r="E9" s="57" t="s">
        <v>29</v>
      </c>
      <c r="F9" s="58">
        <f>'⚖️ Model'!C7/100</f>
        <v>0.22</v>
      </c>
      <c r="H9" s="59" t="s">
        <v>57</v>
      </c>
      <c r="I9" s="60">
        <f>'⚖️ Model'!E7</f>
        <v>8</v>
      </c>
      <c r="J9" s="60">
        <f>'⚖️ Model'!F7</f>
        <v>9</v>
      </c>
      <c r="K9" s="60">
        <f>'⚖️ Model'!G7</f>
        <v>9</v>
      </c>
      <c r="L9" s="60">
        <f>'⚖️ Model'!H7</f>
        <v>7</v>
      </c>
      <c r="M9" s="60">
        <f>'⚖️ Model'!I7</f>
        <v>8</v>
      </c>
    </row>
    <row r="10" spans="2:16" ht="19.5" customHeight="1" x14ac:dyDescent="0.2">
      <c r="B10" s="55" t="s">
        <v>17</v>
      </c>
      <c r="C10" s="56">
        <f>'⚖️ Model'!F28</f>
        <v>8.1</v>
      </c>
      <c r="E10" s="57" t="s">
        <v>30</v>
      </c>
      <c r="F10" s="58">
        <f>'⚖️ Model'!C8/100</f>
        <v>0.2</v>
      </c>
      <c r="H10" s="59" t="s">
        <v>58</v>
      </c>
      <c r="I10" s="60">
        <f>'⚖️ Model'!E8</f>
        <v>9</v>
      </c>
      <c r="J10" s="60">
        <f>'⚖️ Model'!F8</f>
        <v>7</v>
      </c>
      <c r="K10" s="60">
        <f>'⚖️ Model'!G8</f>
        <v>5</v>
      </c>
      <c r="L10" s="60">
        <f>'⚖️ Model'!H8</f>
        <v>8</v>
      </c>
      <c r="M10" s="60">
        <f>'⚖️ Model'!I8</f>
        <v>8</v>
      </c>
    </row>
    <row r="11" spans="2:16" ht="19.5" customHeight="1" x14ac:dyDescent="0.2">
      <c r="B11" s="55" t="s">
        <v>18</v>
      </c>
      <c r="C11" s="56">
        <f>'⚖️ Model'!G28</f>
        <v>8.1</v>
      </c>
      <c r="E11" s="57" t="s">
        <v>31</v>
      </c>
      <c r="F11" s="58">
        <f>'⚖️ Model'!C9/100</f>
        <v>0.18</v>
      </c>
      <c r="H11" s="59" t="s">
        <v>59</v>
      </c>
      <c r="I11" s="60">
        <f>'⚖️ Model'!E9</f>
        <v>7</v>
      </c>
      <c r="J11" s="60">
        <f>'⚖️ Model'!F9</f>
        <v>8</v>
      </c>
      <c r="K11" s="60">
        <f>'⚖️ Model'!G9</f>
        <v>9</v>
      </c>
      <c r="L11" s="60">
        <f>'⚖️ Model'!H9</f>
        <v>7</v>
      </c>
      <c r="M11" s="60">
        <f>'⚖️ Model'!I9</f>
        <v>8</v>
      </c>
    </row>
    <row r="12" spans="2:16" ht="19.5" customHeight="1" x14ac:dyDescent="0.2">
      <c r="B12" s="55" t="s">
        <v>19</v>
      </c>
      <c r="C12" s="56">
        <f>'⚖️ Model'!H28</f>
        <v>7.4600000000000017</v>
      </c>
      <c r="E12" s="57" t="s">
        <v>32</v>
      </c>
      <c r="F12" s="58">
        <f>'⚖️ Model'!C10/100</f>
        <v>0.12</v>
      </c>
      <c r="H12" s="59" t="s">
        <v>60</v>
      </c>
      <c r="I12" s="60">
        <f>'⚖️ Model'!E10</f>
        <v>8</v>
      </c>
      <c r="J12" s="60">
        <f>'⚖️ Model'!F10</f>
        <v>9</v>
      </c>
      <c r="K12" s="60">
        <f>'⚖️ Model'!G10</f>
        <v>9</v>
      </c>
      <c r="L12" s="60">
        <f>'⚖️ Model'!H10</f>
        <v>7</v>
      </c>
      <c r="M12" s="60">
        <f>'⚖️ Model'!I10</f>
        <v>7</v>
      </c>
    </row>
    <row r="13" spans="2:16" ht="19.5" customHeight="1" x14ac:dyDescent="0.2">
      <c r="B13" s="55" t="s">
        <v>20</v>
      </c>
      <c r="C13" s="56">
        <f>'⚖️ Model'!I28</f>
        <v>7.8000000000000007</v>
      </c>
      <c r="E13" s="57" t="s">
        <v>33</v>
      </c>
      <c r="F13" s="58">
        <f>'⚖️ Model'!C11/100</f>
        <v>0.1</v>
      </c>
      <c r="H13" s="59" t="s">
        <v>61</v>
      </c>
      <c r="I13" s="60">
        <f>'⚖️ Model'!E11</f>
        <v>7</v>
      </c>
      <c r="J13" s="60">
        <f>'⚖️ Model'!F11</f>
        <v>8</v>
      </c>
      <c r="K13" s="60">
        <f>'⚖️ Model'!G11</f>
        <v>9</v>
      </c>
      <c r="L13" s="60">
        <f>'⚖️ Model'!H11</f>
        <v>9</v>
      </c>
      <c r="M13" s="60">
        <f>'⚖️ Model'!I11</f>
        <v>7</v>
      </c>
    </row>
    <row r="14" spans="2:16" ht="21.75" customHeight="1" x14ac:dyDescent="0.2">
      <c r="B14" s="62" t="s">
        <v>62</v>
      </c>
      <c r="C14" s="62"/>
      <c r="E14" s="57" t="s">
        <v>34</v>
      </c>
      <c r="F14" s="58">
        <f>'⚖️ Model'!C12/100</f>
        <v>0.08</v>
      </c>
      <c r="H14" s="63" t="s">
        <v>63</v>
      </c>
      <c r="I14" s="63"/>
      <c r="J14" s="63"/>
      <c r="K14" s="63"/>
      <c r="L14" s="63"/>
      <c r="M14" s="63"/>
    </row>
    <row r="15" spans="2:16" ht="19.5" customHeight="1" x14ac:dyDescent="0.2">
      <c r="E15" s="57" t="s">
        <v>35</v>
      </c>
      <c r="F15" s="58">
        <f>'⚖️ Model'!C13/100</f>
        <v>0.06</v>
      </c>
      <c r="H15" s="59" t="s">
        <v>64</v>
      </c>
      <c r="I15" s="60">
        <f>'⚖️ Model'!E13</f>
        <v>9</v>
      </c>
      <c r="J15" s="60">
        <f>'⚖️ Model'!F13</f>
        <v>8</v>
      </c>
      <c r="K15" s="60">
        <f>'⚖️ Model'!G13</f>
        <v>8</v>
      </c>
      <c r="L15" s="60">
        <f>'⚖️ Model'!H13</f>
        <v>8</v>
      </c>
      <c r="M15" s="60">
        <f>'⚖️ Model'!I13</f>
        <v>9</v>
      </c>
    </row>
    <row r="16" spans="2:16" ht="19.5" customHeight="1" x14ac:dyDescent="0.2">
      <c r="E16" s="57" t="s">
        <v>36</v>
      </c>
      <c r="F16" s="58">
        <f>'⚖️ Model'!C14/100</f>
        <v>0.04</v>
      </c>
      <c r="H16" s="59" t="s">
        <v>65</v>
      </c>
      <c r="I16" s="60">
        <f>'⚖️ Model'!E14</f>
        <v>8</v>
      </c>
      <c r="J16" s="60">
        <f>'⚖️ Model'!F14</f>
        <v>7</v>
      </c>
      <c r="K16" s="60">
        <f>'⚖️ Model'!G14</f>
        <v>8</v>
      </c>
      <c r="L16" s="60">
        <f>'⚖️ Model'!H14</f>
        <v>7</v>
      </c>
      <c r="M16" s="60">
        <f>'⚖️ Model'!I14</f>
        <v>9</v>
      </c>
    </row>
    <row r="17" spans="2:15" ht="18" customHeight="1" x14ac:dyDescent="0.2"/>
    <row r="18" spans="2:15" ht="18" customHeight="1" x14ac:dyDescent="0.2"/>
    <row r="19" spans="2:15" ht="18" customHeight="1" x14ac:dyDescent="0.2"/>
    <row r="20" spans="2:15" ht="18" customHeight="1" x14ac:dyDescent="0.2"/>
    <row r="21" spans="2:15" ht="18" customHeight="1" x14ac:dyDescent="0.2"/>
    <row r="22" spans="2:15" ht="18" customHeight="1" x14ac:dyDescent="0.2"/>
    <row r="23" spans="2:15" ht="18" customHeight="1" x14ac:dyDescent="0.2"/>
    <row r="24" spans="2:15" ht="18" customHeight="1" x14ac:dyDescent="0.2"/>
    <row r="25" spans="2:15" ht="18" customHeight="1" x14ac:dyDescent="0.2"/>
    <row r="26" spans="2:15" ht="18" customHeight="1" x14ac:dyDescent="0.2"/>
    <row r="27" spans="2:15" ht="18" customHeight="1" x14ac:dyDescent="0.2"/>
    <row r="28" spans="2:15" ht="18" customHeight="1" x14ac:dyDescent="0.2"/>
    <row r="29" spans="2:15" ht="18" customHeight="1" x14ac:dyDescent="0.2"/>
    <row r="30" spans="2:15" ht="24" customHeight="1" x14ac:dyDescent="0.2">
      <c r="B30" s="9" t="s">
        <v>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2:15" ht="18" customHeight="1" x14ac:dyDescent="0.2"/>
    <row r="32" spans="2:15" ht="18" customHeight="1" x14ac:dyDescent="0.2"/>
    <row r="33" ht="18" customHeight="1" x14ac:dyDescent="0.2"/>
    <row r="34" ht="18" customHeight="1" x14ac:dyDescent="0.2"/>
    <row r="35" ht="18" customHeight="1" x14ac:dyDescent="0.2"/>
    <row r="36" ht="18" customHeight="1" x14ac:dyDescent="0.2"/>
    <row r="37" ht="18" customHeight="1" x14ac:dyDescent="0.2"/>
    <row r="38" ht="18" customHeight="1" x14ac:dyDescent="0.2"/>
    <row r="39" ht="18" customHeight="1" x14ac:dyDescent="0.2"/>
    <row r="40" ht="18" customHeight="1" x14ac:dyDescent="0.2"/>
    <row r="41" ht="18" customHeight="1" x14ac:dyDescent="0.2"/>
    <row r="42" ht="18" customHeight="1" x14ac:dyDescent="0.2"/>
    <row r="43" ht="18" customHeight="1" x14ac:dyDescent="0.2"/>
    <row r="44" ht="18" customHeight="1" x14ac:dyDescent="0.2"/>
    <row r="45" ht="18" customHeight="1" x14ac:dyDescent="0.2"/>
    <row r="46" ht="18" customHeight="1" x14ac:dyDescent="0.2"/>
    <row r="47" ht="18" customHeight="1" x14ac:dyDescent="0.2"/>
    <row r="48" ht="18" customHeight="1" x14ac:dyDescent="0.2"/>
    <row r="49" ht="18" customHeight="1" x14ac:dyDescent="0.2"/>
    <row r="50" ht="18" customHeight="1" x14ac:dyDescent="0.2"/>
    <row r="51" ht="18" customHeight="1" x14ac:dyDescent="0.2"/>
    <row r="52" ht="18" customHeight="1" x14ac:dyDescent="0.2"/>
    <row r="53" ht="18" customHeight="1" x14ac:dyDescent="0.2"/>
    <row r="54" ht="18" customHeight="1" x14ac:dyDescent="0.2"/>
  </sheetData>
  <mergeCells count="11">
    <mergeCell ref="B7:H7"/>
    <mergeCell ref="B14:C14"/>
    <mergeCell ref="H14:M14"/>
    <mergeCell ref="B30:O30"/>
    <mergeCell ref="B2:P2"/>
    <mergeCell ref="B3:P3"/>
    <mergeCell ref="B5:C5"/>
    <mergeCell ref="D5:E5"/>
    <mergeCell ref="F5:G5"/>
    <mergeCell ref="I5:J5"/>
    <mergeCell ref="L5:M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🏆 Results</vt:lpstr>
      <vt:lpstr>⚖️ Model</vt:lpstr>
      <vt:lpstr>📊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2026-06-28T01:11:10Z</dcterms:created>
  <dcterms:modified xsi:type="dcterms:W3CDTF">2026-06-28T01:11:16Z</dcterms:modified>
  <dc:language>en-US</dc:language>
</cp:coreProperties>
</file>